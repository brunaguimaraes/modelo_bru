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"/>
    </mc:Choice>
  </mc:AlternateContent>
  <xr:revisionPtr revIDLastSave="89" documentId="13_ncr:1_{B62E733F-E2E4-4012-8470-C1B541D273FD}" xr6:coauthVersionLast="47" xr6:coauthVersionMax="47" xr10:uidLastSave="{D26A2378-E348-4C1E-9B03-5285ECF72DE8}"/>
  <bookViews>
    <workbookView xWindow="-108" yWindow="-108" windowWidth="23256" windowHeight="12456" xr2:uid="{1683CF16-D6CE-428F-8B93-DD97FDAC2386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17" i="1"/>
  <c r="D17" i="1"/>
  <c r="G17" i="1"/>
  <c r="H17" i="1"/>
  <c r="A18" i="1"/>
  <c r="B18" i="1"/>
  <c r="C18" i="1"/>
  <c r="D18" i="1"/>
  <c r="G18" i="1"/>
  <c r="H18" i="1"/>
  <c r="A3" i="1"/>
  <c r="B3" i="1"/>
  <c r="C3" i="1"/>
  <c r="D3" i="1"/>
  <c r="G3" i="1"/>
  <c r="H3" i="1"/>
  <c r="A4" i="1"/>
  <c r="B4" i="1"/>
  <c r="C4" i="1"/>
  <c r="D4" i="1"/>
  <c r="G4" i="1"/>
  <c r="H4" i="1"/>
  <c r="A5" i="1"/>
  <c r="B5" i="1"/>
  <c r="C5" i="1"/>
  <c r="D5" i="1"/>
  <c r="G5" i="1"/>
  <c r="H5" i="1"/>
  <c r="A6" i="1"/>
  <c r="B6" i="1"/>
  <c r="C6" i="1"/>
  <c r="D6" i="1"/>
  <c r="G6" i="1"/>
  <c r="H6" i="1"/>
  <c r="A7" i="1"/>
  <c r="B7" i="1"/>
  <c r="C7" i="1"/>
  <c r="D7" i="1"/>
  <c r="G7" i="1"/>
  <c r="H7" i="1"/>
  <c r="B8" i="1"/>
  <c r="C8" i="1"/>
  <c r="D8" i="1"/>
  <c r="G8" i="1"/>
  <c r="H8" i="1"/>
  <c r="B9" i="1"/>
  <c r="C9" i="1"/>
  <c r="D9" i="1"/>
  <c r="G9" i="1"/>
  <c r="H9" i="1"/>
  <c r="B10" i="1"/>
  <c r="C10" i="1"/>
  <c r="D10" i="1"/>
  <c r="G10" i="1"/>
  <c r="H10" i="1"/>
  <c r="B11" i="1"/>
  <c r="C11" i="1"/>
  <c r="D11" i="1"/>
  <c r="G11" i="1"/>
  <c r="H11" i="1"/>
  <c r="B12" i="1"/>
  <c r="C12" i="1"/>
  <c r="D12" i="1"/>
  <c r="G12" i="1"/>
  <c r="H12" i="1"/>
  <c r="B13" i="1"/>
  <c r="C13" i="1"/>
  <c r="D13" i="1"/>
  <c r="G13" i="1"/>
  <c r="H13" i="1"/>
  <c r="B14" i="1"/>
  <c r="C14" i="1"/>
  <c r="D14" i="1"/>
  <c r="G14" i="1"/>
  <c r="H14" i="1"/>
  <c r="B15" i="1"/>
  <c r="C15" i="1"/>
  <c r="D15" i="1"/>
  <c r="G15" i="1"/>
  <c r="H15" i="1"/>
  <c r="B16" i="1"/>
  <c r="C16" i="1"/>
  <c r="D16" i="1"/>
  <c r="G16" i="1"/>
  <c r="H16" i="1"/>
  <c r="H2" i="1"/>
  <c r="G2" i="1"/>
  <c r="C2" i="1"/>
  <c r="D2" i="1"/>
  <c r="B2" i="1"/>
  <c r="A2" i="1"/>
</calcChain>
</file>

<file path=xl/sharedStrings.xml><?xml version="1.0" encoding="utf-8"?>
<sst xmlns="http://schemas.openxmlformats.org/spreadsheetml/2006/main" count="37" uniqueCount="22">
  <si>
    <t>Coordinates</t>
  </si>
  <si>
    <t>Lat</t>
  </si>
  <si>
    <t>Lon</t>
  </si>
  <si>
    <t>Capacity</t>
  </si>
  <si>
    <t>Retrofitdate</t>
  </si>
  <si>
    <t>Route</t>
  </si>
  <si>
    <t>Plantname</t>
  </si>
  <si>
    <t>Startyear</t>
  </si>
  <si>
    <t>Energy_intensity</t>
  </si>
  <si>
    <t>Emission_intensity</t>
  </si>
  <si>
    <t>EAF</t>
  </si>
  <si>
    <t>BOF</t>
  </si>
  <si>
    <t>SBR00008</t>
  </si>
  <si>
    <t>SBR00009</t>
  </si>
  <si>
    <t>SBR00010</t>
  </si>
  <si>
    <t>SBR00011</t>
  </si>
  <si>
    <t>SBR00007 BOF</t>
  </si>
  <si>
    <t>SBR00007 EAF</t>
  </si>
  <si>
    <t>SBR00012 BOF</t>
  </si>
  <si>
    <t>SBR00012 EAF</t>
  </si>
  <si>
    <t>SBR00013 BOF</t>
  </si>
  <si>
    <t>SBR00013 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</si>
</sst>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modelo_bru/Plants.xlsx" TargetMode="External"/><Relationship Id="rId1" Type="http://schemas.openxmlformats.org/officeDocument/2006/relationships/externalLinkPath" Target="/ead127730922d462/DOUTORADO/0.TESE/modelagem/modelo_bru/Pl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 refreshError="1">
        <row r="2">
          <cell r="A2" t="str">
            <v>SBR00001</v>
          </cell>
          <cell r="B2" t="str">
            <v>-20.543507, -43.752950</v>
          </cell>
          <cell r="C2">
            <v>-20543507</v>
          </cell>
          <cell r="D2">
            <v>-43752950</v>
          </cell>
          <cell r="F2">
            <v>2036</v>
          </cell>
          <cell r="G2">
            <v>7600</v>
          </cell>
        </row>
        <row r="3">
          <cell r="A3" t="str">
            <v>SBR00002</v>
          </cell>
          <cell r="B3" t="str">
            <v>-20.253447, -40.242298</v>
          </cell>
          <cell r="C3">
            <v>-20253447</v>
          </cell>
          <cell r="D3">
            <v>-40242298</v>
          </cell>
          <cell r="F3">
            <v>2033</v>
          </cell>
          <cell r="G3">
            <v>7500</v>
          </cell>
        </row>
        <row r="4">
          <cell r="A4" t="str">
            <v>SBR00003</v>
          </cell>
          <cell r="B4" t="str">
            <v>-19.832129, -43.130164</v>
          </cell>
          <cell r="C4">
            <v>-19832129</v>
          </cell>
          <cell r="D4">
            <v>-43130164</v>
          </cell>
          <cell r="F4">
            <v>2037</v>
          </cell>
          <cell r="G4">
            <v>3500</v>
          </cell>
        </row>
        <row r="5">
          <cell r="A5" t="str">
            <v>SBR00004</v>
          </cell>
          <cell r="B5" t="str">
            <v>-22.493597, -44.512628</v>
          </cell>
          <cell r="C5">
            <v>-22493597</v>
          </cell>
          <cell r="D5">
            <v>-44512628</v>
          </cell>
          <cell r="F5">
            <v>2060</v>
          </cell>
          <cell r="G5">
            <v>1000</v>
          </cell>
        </row>
        <row r="6">
          <cell r="A6" t="str">
            <v>SBR00005</v>
          </cell>
          <cell r="B6" t="str">
            <v>-23.863092, -46.376294</v>
          </cell>
          <cell r="C6">
            <v>-23863092</v>
          </cell>
          <cell r="D6">
            <v>-46376294</v>
          </cell>
          <cell r="F6">
            <v>2038</v>
          </cell>
          <cell r="G6">
            <v>0</v>
          </cell>
        </row>
        <row r="7">
          <cell r="A7" t="str">
            <v>SBR00006</v>
          </cell>
          <cell r="B7" t="str">
            <v>-22.912549, -43.741614</v>
          </cell>
          <cell r="C7">
            <v>-22912549</v>
          </cell>
          <cell r="D7">
            <v>-43741614</v>
          </cell>
          <cell r="F7">
            <v>2035</v>
          </cell>
          <cell r="G7">
            <v>5000</v>
          </cell>
        </row>
        <row r="8">
          <cell r="B8" t="str">
            <v>-22.512631, -44.112870</v>
          </cell>
          <cell r="C8">
            <v>-22512631</v>
          </cell>
          <cell r="D8">
            <v>-44112870</v>
          </cell>
          <cell r="F8">
            <v>2046</v>
          </cell>
          <cell r="G8">
            <v>4504.9771000000001</v>
          </cell>
        </row>
        <row r="9">
          <cell r="B9" t="str">
            <v>-22.512631, -44.112870</v>
          </cell>
          <cell r="C9">
            <v>-22512631</v>
          </cell>
          <cell r="D9">
            <v>-44112870</v>
          </cell>
          <cell r="F9">
            <v>2060</v>
          </cell>
          <cell r="G9">
            <v>1295.0228999999999</v>
          </cell>
        </row>
        <row r="10">
          <cell r="B10" t="str">
            <v>-3.585917, -38.858932</v>
          </cell>
          <cell r="C10">
            <v>-3585917</v>
          </cell>
          <cell r="D10">
            <v>-38858932</v>
          </cell>
          <cell r="F10">
            <v>2041</v>
          </cell>
          <cell r="G10">
            <v>3000</v>
          </cell>
        </row>
        <row r="11">
          <cell r="B11" t="str">
            <v>-22.698154, -47.657146</v>
          </cell>
          <cell r="C11">
            <v>-22698154</v>
          </cell>
          <cell r="D11">
            <v>-47657146</v>
          </cell>
          <cell r="F11">
            <v>2060</v>
          </cell>
          <cell r="G11">
            <v>1100</v>
          </cell>
        </row>
        <row r="12">
          <cell r="B12" t="str">
            <v>-22.902420, -43.749319</v>
          </cell>
          <cell r="C12">
            <v>-22902420</v>
          </cell>
          <cell r="D12">
            <v>-43749319</v>
          </cell>
          <cell r="F12">
            <v>2060</v>
          </cell>
          <cell r="G12">
            <v>1200</v>
          </cell>
        </row>
        <row r="13">
          <cell r="B13" t="str">
            <v>-19.491277, -42.544253</v>
          </cell>
          <cell r="C13">
            <v>-19491277</v>
          </cell>
          <cell r="D13">
            <v>-42544253</v>
          </cell>
          <cell r="F13">
            <v>2037</v>
          </cell>
          <cell r="G13">
            <v>3500</v>
          </cell>
        </row>
        <row r="14">
          <cell r="B14" t="str">
            <v>-20.582683, -43.971555</v>
          </cell>
          <cell r="C14">
            <v>-20582683</v>
          </cell>
          <cell r="D14">
            <v>-43971555</v>
          </cell>
          <cell r="F14">
            <v>2036</v>
          </cell>
          <cell r="G14">
            <v>776.72019999999998</v>
          </cell>
        </row>
        <row r="15">
          <cell r="B15" t="str">
            <v>-20.582683, -43.971555</v>
          </cell>
          <cell r="C15">
            <v>-20582683</v>
          </cell>
          <cell r="D15">
            <v>-43971555</v>
          </cell>
          <cell r="F15">
            <v>2060</v>
          </cell>
          <cell r="G15">
            <v>223.27979999999999</v>
          </cell>
        </row>
        <row r="16">
          <cell r="B16" t="str">
            <v>-21.626963, -43.462361</v>
          </cell>
          <cell r="C16">
            <v>-21626963</v>
          </cell>
          <cell r="D16">
            <v>-43462361</v>
          </cell>
          <cell r="F16">
            <v>2034</v>
          </cell>
          <cell r="G16">
            <v>1553.4404</v>
          </cell>
        </row>
        <row r="17">
          <cell r="B17" t="str">
            <v>-21.626963, -43.462361</v>
          </cell>
          <cell r="C17">
            <v>-21626963</v>
          </cell>
          <cell r="D17">
            <v>-43462361</v>
          </cell>
          <cell r="F17">
            <v>2060</v>
          </cell>
          <cell r="G17">
            <v>446.55959999999999</v>
          </cell>
        </row>
        <row r="18">
          <cell r="A18" t="str">
            <v>ARCH-Brazil-EAF-1</v>
          </cell>
          <cell r="B18" t="str">
            <v>-20.543507, -43.752950</v>
          </cell>
          <cell r="C18">
            <v>-20543507</v>
          </cell>
          <cell r="D18">
            <v>-43752950</v>
          </cell>
          <cell r="F18">
            <v>2060</v>
          </cell>
          <cell r="G18">
            <v>1037.3134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9D97-E7E6-401A-8B63-E7AB508DAAF6}">
  <dimension ref="A1:K20"/>
  <sheetViews>
    <sheetView tabSelected="1" workbookViewId="0">
      <selection activeCell="A18" sqref="A18"/>
    </sheetView>
  </sheetViews>
  <sheetFormatPr defaultRowHeight="14.4" x14ac:dyDescent="0.3"/>
  <cols>
    <col min="1" max="1" width="43" customWidth="1"/>
    <col min="2" max="2" width="15" customWidth="1"/>
    <col min="3" max="4" width="10.77734375" bestFit="1" customWidth="1"/>
    <col min="5" max="6" width="18.88671875" customWidth="1"/>
    <col min="7" max="7" width="19" customWidth="1"/>
    <col min="8" max="8" width="10.88671875" bestFit="1" customWidth="1"/>
    <col min="9" max="9" width="13.88671875" bestFit="1" customWidth="1"/>
    <col min="10" max="10" width="15.77734375" bestFit="1" customWidth="1"/>
    <col min="11" max="11" width="12" bestFit="1" customWidth="1"/>
  </cols>
  <sheetData>
    <row r="1" spans="1:11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7</v>
      </c>
      <c r="G1" s="1" t="s">
        <v>4</v>
      </c>
      <c r="H1" s="1" t="s">
        <v>3</v>
      </c>
      <c r="I1" s="1" t="s">
        <v>8</v>
      </c>
      <c r="J1" s="1" t="s">
        <v>9</v>
      </c>
      <c r="K1" s="1"/>
    </row>
    <row r="2" spans="1:11" x14ac:dyDescent="0.3">
      <c r="A2" s="1" t="str">
        <f>[1]Planilha1!A2</f>
        <v>SBR00001</v>
      </c>
      <c r="B2" s="1" t="str">
        <f>[1]Planilha1!B2</f>
        <v>-20.543507, -43.752950</v>
      </c>
      <c r="C2" s="1">
        <f>[1]Planilha1!C2</f>
        <v>-20543507</v>
      </c>
      <c r="D2" s="1">
        <f>[1]Planilha1!D2</f>
        <v>-43752950</v>
      </c>
      <c r="E2" s="1" t="s">
        <v>11</v>
      </c>
      <c r="F2" s="1">
        <v>2023</v>
      </c>
      <c r="G2" s="2">
        <f>[1]Planilha1!F2</f>
        <v>2036</v>
      </c>
      <c r="H2" s="2">
        <f>[1]Planilha1!G2</f>
        <v>7600</v>
      </c>
      <c r="I2">
        <v>23</v>
      </c>
      <c r="J2">
        <v>2</v>
      </c>
    </row>
    <row r="3" spans="1:11" x14ac:dyDescent="0.3">
      <c r="A3" s="1" t="str">
        <f>[1]Planilha1!A3</f>
        <v>SBR00002</v>
      </c>
      <c r="B3" s="1" t="str">
        <f>[1]Planilha1!B3</f>
        <v>-20.253447, -40.242298</v>
      </c>
      <c r="C3" s="1">
        <f>[1]Planilha1!C3</f>
        <v>-20253447</v>
      </c>
      <c r="D3" s="1">
        <f>[1]Planilha1!D3</f>
        <v>-40242298</v>
      </c>
      <c r="E3" s="1" t="s">
        <v>11</v>
      </c>
      <c r="F3" s="1">
        <v>2023</v>
      </c>
      <c r="G3" s="2">
        <f>[1]Planilha1!F3</f>
        <v>2033</v>
      </c>
      <c r="H3" s="2">
        <f>[1]Planilha1!G3</f>
        <v>7500</v>
      </c>
      <c r="I3">
        <v>23</v>
      </c>
      <c r="J3">
        <v>2</v>
      </c>
    </row>
    <row r="4" spans="1:11" x14ac:dyDescent="0.3">
      <c r="A4" s="1" t="str">
        <f>[1]Planilha1!A4</f>
        <v>SBR00003</v>
      </c>
      <c r="B4" s="1" t="str">
        <f>[1]Planilha1!B4</f>
        <v>-19.832129, -43.130164</v>
      </c>
      <c r="C4" s="1">
        <f>[1]Planilha1!C4</f>
        <v>-19832129</v>
      </c>
      <c r="D4" s="1">
        <f>[1]Planilha1!D4</f>
        <v>-43130164</v>
      </c>
      <c r="E4" s="1" t="s">
        <v>11</v>
      </c>
      <c r="F4" s="1">
        <v>2023</v>
      </c>
      <c r="G4" s="2">
        <f>[1]Planilha1!F4</f>
        <v>2037</v>
      </c>
      <c r="H4" s="2">
        <f>[1]Planilha1!G4</f>
        <v>3500</v>
      </c>
      <c r="I4">
        <v>23</v>
      </c>
      <c r="J4">
        <v>2</v>
      </c>
    </row>
    <row r="5" spans="1:11" x14ac:dyDescent="0.3">
      <c r="A5" s="1" t="str">
        <f>[1]Planilha1!A5</f>
        <v>SBR00004</v>
      </c>
      <c r="B5" s="1" t="str">
        <f>[1]Planilha1!B5</f>
        <v>-22.493597, -44.512628</v>
      </c>
      <c r="C5" s="1">
        <f>[1]Planilha1!C5</f>
        <v>-22493597</v>
      </c>
      <c r="D5" s="1">
        <f>[1]Planilha1!D5</f>
        <v>-44512628</v>
      </c>
      <c r="E5" s="1" t="s">
        <v>10</v>
      </c>
      <c r="F5" s="1">
        <v>2023</v>
      </c>
      <c r="G5" s="2">
        <f>[1]Planilha1!F5</f>
        <v>2060</v>
      </c>
      <c r="H5" s="2">
        <f>[1]Planilha1!G5</f>
        <v>1000</v>
      </c>
      <c r="I5">
        <v>10</v>
      </c>
      <c r="J5">
        <v>0.3</v>
      </c>
    </row>
    <row r="6" spans="1:11" x14ac:dyDescent="0.3">
      <c r="A6" s="1" t="str">
        <f>[1]Planilha1!A6</f>
        <v>SBR00005</v>
      </c>
      <c r="B6" s="1" t="str">
        <f>[1]Planilha1!B6</f>
        <v>-23.863092, -46.376294</v>
      </c>
      <c r="C6" s="1">
        <f>[1]Planilha1!C6</f>
        <v>-23863092</v>
      </c>
      <c r="D6" s="1">
        <f>[1]Planilha1!D6</f>
        <v>-46376294</v>
      </c>
      <c r="E6" s="1" t="s">
        <v>11</v>
      </c>
      <c r="F6" s="1">
        <v>2023</v>
      </c>
      <c r="G6" s="2">
        <f>[1]Planilha1!F6</f>
        <v>2038</v>
      </c>
      <c r="H6" s="2">
        <f>[1]Planilha1!G6</f>
        <v>0</v>
      </c>
      <c r="I6">
        <v>23</v>
      </c>
      <c r="J6">
        <v>2</v>
      </c>
    </row>
    <row r="7" spans="1:11" x14ac:dyDescent="0.3">
      <c r="A7" s="1" t="str">
        <f>[1]Planilha1!A7</f>
        <v>SBR00006</v>
      </c>
      <c r="B7" s="1" t="str">
        <f>[1]Planilha1!B7</f>
        <v>-22.912549, -43.741614</v>
      </c>
      <c r="C7" s="1">
        <f>[1]Planilha1!C7</f>
        <v>-22912549</v>
      </c>
      <c r="D7" s="1">
        <f>[1]Planilha1!D7</f>
        <v>-43741614</v>
      </c>
      <c r="E7" s="1" t="s">
        <v>11</v>
      </c>
      <c r="F7" s="1">
        <v>2023</v>
      </c>
      <c r="G7" s="2">
        <f>[1]Planilha1!F7</f>
        <v>2035</v>
      </c>
      <c r="H7" s="2">
        <f>[1]Planilha1!G7</f>
        <v>5000</v>
      </c>
      <c r="I7">
        <v>23</v>
      </c>
      <c r="J7">
        <v>2</v>
      </c>
    </row>
    <row r="8" spans="1:11" x14ac:dyDescent="0.3">
      <c r="A8" s="1" t="s">
        <v>16</v>
      </c>
      <c r="B8" s="1" t="str">
        <f>[1]Planilha1!B8</f>
        <v>-22.512631, -44.112870</v>
      </c>
      <c r="C8" s="1">
        <f>[1]Planilha1!C8</f>
        <v>-22512631</v>
      </c>
      <c r="D8" s="1">
        <f>[1]Planilha1!D8</f>
        <v>-44112870</v>
      </c>
      <c r="E8" s="1" t="s">
        <v>11</v>
      </c>
      <c r="F8" s="1">
        <v>2023</v>
      </c>
      <c r="G8" s="2">
        <f>[1]Planilha1!F8</f>
        <v>2046</v>
      </c>
      <c r="H8" s="2">
        <f>[1]Planilha1!G8</f>
        <v>4504.9771000000001</v>
      </c>
      <c r="I8">
        <v>23</v>
      </c>
      <c r="J8">
        <v>2</v>
      </c>
    </row>
    <row r="9" spans="1:11" x14ac:dyDescent="0.3">
      <c r="A9" s="1" t="s">
        <v>17</v>
      </c>
      <c r="B9" s="1" t="str">
        <f>[1]Planilha1!B9</f>
        <v>-22.512631, -44.112870</v>
      </c>
      <c r="C9" s="1">
        <f>[1]Planilha1!C9</f>
        <v>-22512631</v>
      </c>
      <c r="D9" s="1">
        <f>[1]Planilha1!D9</f>
        <v>-44112870</v>
      </c>
      <c r="E9" s="1" t="s">
        <v>10</v>
      </c>
      <c r="F9" s="1">
        <v>2023</v>
      </c>
      <c r="G9" s="2">
        <f>[1]Planilha1!F9</f>
        <v>2060</v>
      </c>
      <c r="H9" s="2">
        <f>[1]Planilha1!G9</f>
        <v>1295.0228999999999</v>
      </c>
      <c r="I9">
        <v>10</v>
      </c>
      <c r="J9">
        <v>0.3</v>
      </c>
    </row>
    <row r="10" spans="1:11" x14ac:dyDescent="0.3">
      <c r="A10" s="1" t="s">
        <v>12</v>
      </c>
      <c r="B10" s="1" t="str">
        <f>[1]Planilha1!B10</f>
        <v>-3.585917, -38.858932</v>
      </c>
      <c r="C10" s="1">
        <f>[1]Planilha1!C10</f>
        <v>-3585917</v>
      </c>
      <c r="D10" s="1">
        <f>[1]Planilha1!D10</f>
        <v>-38858932</v>
      </c>
      <c r="E10" s="1" t="s">
        <v>11</v>
      </c>
      <c r="F10" s="1">
        <v>2023</v>
      </c>
      <c r="G10" s="2">
        <f>[1]Planilha1!F10</f>
        <v>2041</v>
      </c>
      <c r="H10" s="2">
        <f>[1]Planilha1!G10</f>
        <v>3000</v>
      </c>
      <c r="I10">
        <v>23</v>
      </c>
      <c r="J10">
        <v>2</v>
      </c>
    </row>
    <row r="11" spans="1:11" x14ac:dyDescent="0.3">
      <c r="A11" s="1" t="s">
        <v>13</v>
      </c>
      <c r="B11" s="1" t="str">
        <f>[1]Planilha1!B11</f>
        <v>-22.698154, -47.657146</v>
      </c>
      <c r="C11" s="1">
        <f>[1]Planilha1!C11</f>
        <v>-22698154</v>
      </c>
      <c r="D11" s="1">
        <f>[1]Planilha1!D11</f>
        <v>-47657146</v>
      </c>
      <c r="E11" s="1" t="s">
        <v>10</v>
      </c>
      <c r="F11" s="1">
        <v>2023</v>
      </c>
      <c r="G11" s="2">
        <f>[1]Planilha1!F11</f>
        <v>2060</v>
      </c>
      <c r="H11" s="2">
        <f>[1]Planilha1!G11</f>
        <v>1100</v>
      </c>
      <c r="I11">
        <v>10</v>
      </c>
      <c r="J11">
        <v>0.3</v>
      </c>
    </row>
    <row r="12" spans="1:11" x14ac:dyDescent="0.3">
      <c r="A12" s="1" t="s">
        <v>14</v>
      </c>
      <c r="B12" s="1" t="str">
        <f>[1]Planilha1!B12</f>
        <v>-22.902420, -43.749319</v>
      </c>
      <c r="C12" s="1">
        <f>[1]Planilha1!C12</f>
        <v>-22902420</v>
      </c>
      <c r="D12" s="1">
        <f>[1]Planilha1!D12</f>
        <v>-43749319</v>
      </c>
      <c r="E12" s="1" t="s">
        <v>10</v>
      </c>
      <c r="F12" s="1">
        <v>2023</v>
      </c>
      <c r="G12" s="2">
        <f>[1]Planilha1!F12</f>
        <v>2060</v>
      </c>
      <c r="H12" s="2">
        <f>[1]Planilha1!G12</f>
        <v>1200</v>
      </c>
      <c r="I12">
        <v>10</v>
      </c>
      <c r="J12">
        <v>0.3</v>
      </c>
    </row>
    <row r="13" spans="1:11" x14ac:dyDescent="0.3">
      <c r="A13" s="1" t="s">
        <v>15</v>
      </c>
      <c r="B13" s="1" t="str">
        <f>[1]Planilha1!B13</f>
        <v>-19.491277, -42.544253</v>
      </c>
      <c r="C13" s="1">
        <f>[1]Planilha1!C13</f>
        <v>-19491277</v>
      </c>
      <c r="D13" s="1">
        <f>[1]Planilha1!D13</f>
        <v>-42544253</v>
      </c>
      <c r="E13" s="1" t="s">
        <v>11</v>
      </c>
      <c r="F13" s="1">
        <v>2023</v>
      </c>
      <c r="G13" s="2">
        <f>[1]Planilha1!F13</f>
        <v>2037</v>
      </c>
      <c r="H13" s="2">
        <f>[1]Planilha1!G13</f>
        <v>3500</v>
      </c>
      <c r="I13">
        <v>23</v>
      </c>
      <c r="J13">
        <v>2</v>
      </c>
    </row>
    <row r="14" spans="1:11" x14ac:dyDescent="0.3">
      <c r="A14" s="1" t="s">
        <v>18</v>
      </c>
      <c r="B14" s="1" t="str">
        <f>[1]Planilha1!B14</f>
        <v>-20.582683, -43.971555</v>
      </c>
      <c r="C14" s="1">
        <f>[1]Planilha1!C14</f>
        <v>-20582683</v>
      </c>
      <c r="D14" s="1">
        <f>[1]Planilha1!D14</f>
        <v>-43971555</v>
      </c>
      <c r="E14" s="1" t="s">
        <v>11</v>
      </c>
      <c r="F14" s="1">
        <v>2023</v>
      </c>
      <c r="G14" s="2">
        <f>[1]Planilha1!F14</f>
        <v>2036</v>
      </c>
      <c r="H14" s="2">
        <f>[1]Planilha1!G14</f>
        <v>776.72019999999998</v>
      </c>
      <c r="I14">
        <v>23</v>
      </c>
      <c r="J14">
        <v>2</v>
      </c>
    </row>
    <row r="15" spans="1:11" x14ac:dyDescent="0.3">
      <c r="A15" s="1" t="s">
        <v>19</v>
      </c>
      <c r="B15" s="1" t="str">
        <f>[1]Planilha1!B15</f>
        <v>-20.582683, -43.971555</v>
      </c>
      <c r="C15" s="1">
        <f>[1]Planilha1!C15</f>
        <v>-20582683</v>
      </c>
      <c r="D15" s="1">
        <f>[1]Planilha1!D15</f>
        <v>-43971555</v>
      </c>
      <c r="E15" s="1" t="s">
        <v>10</v>
      </c>
      <c r="F15" s="1">
        <v>2023</v>
      </c>
      <c r="G15" s="2">
        <f>[1]Planilha1!F15</f>
        <v>2060</v>
      </c>
      <c r="H15" s="2">
        <f>[1]Planilha1!G15</f>
        <v>223.27979999999999</v>
      </c>
      <c r="I15">
        <v>10</v>
      </c>
      <c r="J15">
        <v>0.3</v>
      </c>
    </row>
    <row r="16" spans="1:11" x14ac:dyDescent="0.3">
      <c r="A16" s="1" t="s">
        <v>20</v>
      </c>
      <c r="B16" s="1" t="str">
        <f>[1]Planilha1!B16</f>
        <v>-21.626963, -43.462361</v>
      </c>
      <c r="C16" s="1">
        <f>[1]Planilha1!C16</f>
        <v>-21626963</v>
      </c>
      <c r="D16" s="1">
        <f>[1]Planilha1!D16</f>
        <v>-43462361</v>
      </c>
      <c r="E16" s="1" t="s">
        <v>11</v>
      </c>
      <c r="F16" s="1">
        <v>2023</v>
      </c>
      <c r="G16" s="2">
        <f>[1]Planilha1!F16</f>
        <v>2034</v>
      </c>
      <c r="H16" s="2">
        <f>[1]Planilha1!G16</f>
        <v>1553.4404</v>
      </c>
      <c r="I16">
        <v>23</v>
      </c>
      <c r="J16">
        <v>2</v>
      </c>
    </row>
    <row r="17" spans="1:10" x14ac:dyDescent="0.3">
      <c r="A17" s="1" t="s">
        <v>21</v>
      </c>
      <c r="B17" s="1" t="str">
        <f>[1]Planilha1!B17</f>
        <v>-21.626963, -43.462361</v>
      </c>
      <c r="C17" s="1">
        <f>[1]Planilha1!C17</f>
        <v>-21626963</v>
      </c>
      <c r="D17" s="1">
        <f>[1]Planilha1!D17</f>
        <v>-43462361</v>
      </c>
      <c r="E17" s="1" t="s">
        <v>10</v>
      </c>
      <c r="F17" s="1">
        <v>2023</v>
      </c>
      <c r="G17" s="2">
        <f>[1]Planilha1!F17</f>
        <v>2060</v>
      </c>
      <c r="H17" s="2">
        <f>[1]Planilha1!G17</f>
        <v>446.55959999999999</v>
      </c>
      <c r="I17">
        <v>10</v>
      </c>
      <c r="J17">
        <v>0.3</v>
      </c>
    </row>
    <row r="18" spans="1:10" x14ac:dyDescent="0.3">
      <c r="A18" s="1" t="str">
        <f>[1]Planilha1!A18</f>
        <v>ARCH-Brazil-EAF-1</v>
      </c>
      <c r="B18" s="1" t="str">
        <f>[1]Planilha1!B18</f>
        <v>-20.543507, -43.752950</v>
      </c>
      <c r="C18" s="1">
        <f>[1]Planilha1!C18</f>
        <v>-20543507</v>
      </c>
      <c r="D18" s="1">
        <f>[1]Planilha1!D18</f>
        <v>-43752950</v>
      </c>
      <c r="E18" s="1" t="s">
        <v>10</v>
      </c>
      <c r="F18" s="1">
        <v>2023</v>
      </c>
      <c r="G18" s="2">
        <f>[1]Planilha1!F18</f>
        <v>2060</v>
      </c>
      <c r="H18" s="2">
        <f>[1]Planilha1!G18</f>
        <v>1037.3134</v>
      </c>
      <c r="I18">
        <v>10</v>
      </c>
      <c r="J18">
        <v>0.3</v>
      </c>
    </row>
    <row r="19" spans="1:10" x14ac:dyDescent="0.3">
      <c r="A19" s="1"/>
      <c r="B19" s="1"/>
      <c r="C19" s="1"/>
      <c r="D19" s="1"/>
      <c r="E19" s="1"/>
      <c r="F19" s="1"/>
      <c r="G19" s="2"/>
      <c r="H19" s="2"/>
    </row>
    <row r="20" spans="1:10" x14ac:dyDescent="0.3">
      <c r="A20" s="1"/>
      <c r="B20" s="1"/>
      <c r="C20" s="1"/>
      <c r="D20" s="1"/>
      <c r="E20" s="1"/>
      <c r="F20" s="1"/>
      <c r="G20" s="2"/>
      <c r="H2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Guimaraes</dc:creator>
  <cp:lastModifiedBy>Bruna Guimaraes</cp:lastModifiedBy>
  <dcterms:created xsi:type="dcterms:W3CDTF">2025-05-21T14:44:21Z</dcterms:created>
  <dcterms:modified xsi:type="dcterms:W3CDTF">2026-01-16T19:06:24Z</dcterms:modified>
</cp:coreProperties>
</file>