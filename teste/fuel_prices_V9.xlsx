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ce9e6a828229890/Doutorado/Tese/Analise combustiveis/"/>
    </mc:Choice>
  </mc:AlternateContent>
  <xr:revisionPtr revIDLastSave="6" documentId="8_{577964CE-779E-4102-ADA1-FACF3B05FF76}" xr6:coauthVersionLast="47" xr6:coauthVersionMax="47" xr10:uidLastSave="{418224E2-3CD1-4FCB-BDD5-5D98FC2C746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E15" i="1" s="1"/>
  <c r="B16" i="1"/>
  <c r="E16" i="1" s="1"/>
  <c r="B17" i="1"/>
  <c r="E17" i="1" s="1"/>
  <c r="B18" i="1"/>
  <c r="E18" i="1" s="1"/>
  <c r="B19" i="1"/>
  <c r="E19" i="1" s="1"/>
  <c r="B20" i="1"/>
  <c r="B21" i="1"/>
  <c r="B22" i="1"/>
  <c r="B23" i="1"/>
  <c r="B24" i="1"/>
  <c r="B25" i="1"/>
  <c r="B26" i="1"/>
  <c r="B27" i="1"/>
  <c r="B28" i="1"/>
  <c r="B29" i="1"/>
  <c r="B30" i="1"/>
  <c r="B31" i="1"/>
  <c r="E31" i="1" s="1"/>
  <c r="E11" i="1"/>
  <c r="E12" i="1"/>
  <c r="E13" i="1"/>
  <c r="E14" i="1"/>
  <c r="E20" i="1"/>
  <c r="E21" i="1"/>
  <c r="E22" i="1"/>
  <c r="E23" i="1"/>
  <c r="E24" i="1"/>
  <c r="E25" i="1"/>
  <c r="E26" i="1"/>
  <c r="E27" i="1"/>
  <c r="E28" i="1"/>
  <c r="E29" i="1"/>
  <c r="E30" i="1"/>
  <c r="O9" i="1" l="1"/>
  <c r="B3" i="1"/>
  <c r="E3" i="1" s="1"/>
  <c r="E4" i="1"/>
  <c r="E5" i="1"/>
  <c r="E6" i="1"/>
  <c r="E7" i="1"/>
  <c r="E9" i="1"/>
  <c r="E10" i="1"/>
  <c r="B2" i="1"/>
  <c r="E2" i="1" s="1"/>
  <c r="E8" i="1"/>
</calcChain>
</file>

<file path=xl/sharedStrings.xml><?xml version="1.0" encoding="utf-8"?>
<sst xmlns="http://schemas.openxmlformats.org/spreadsheetml/2006/main" count="96" uniqueCount="41">
  <si>
    <t>Fuel</t>
  </si>
  <si>
    <t>US$/ktoe</t>
  </si>
  <si>
    <t>Fonte</t>
  </si>
  <si>
    <t>Petroleo</t>
  </si>
  <si>
    <t>Oleo diesel</t>
  </si>
  <si>
    <t>Biodiesel</t>
  </si>
  <si>
    <t>Oleo combustivel</t>
  </si>
  <si>
    <t>Gasolina</t>
  </si>
  <si>
    <t>Alcool</t>
  </si>
  <si>
    <t>GLP</t>
  </si>
  <si>
    <t>Gas natural</t>
  </si>
  <si>
    <t>Carvao vapor</t>
  </si>
  <si>
    <t>Eletricidade</t>
  </si>
  <si>
    <t>Querosene</t>
  </si>
  <si>
    <t>Carvao vegetal</t>
  </si>
  <si>
    <t>Lenha</t>
  </si>
  <si>
    <t>Produtos da cana</t>
  </si>
  <si>
    <t>Outras fontes primarias</t>
  </si>
  <si>
    <t>Outras fontes secundarias</t>
  </si>
  <si>
    <t>Gas de coqueria</t>
  </si>
  <si>
    <t>Coque metalurgico</t>
  </si>
  <si>
    <t>Coque de petroleo</t>
  </si>
  <si>
    <t>Alcatrao</t>
  </si>
  <si>
    <t>Carvao mineral</t>
  </si>
  <si>
    <t>Residuos industriais nao perigosos</t>
  </si>
  <si>
    <t>Residuos industriais perigosos</t>
  </si>
  <si>
    <t>CDR</t>
  </si>
  <si>
    <t>Pneus</t>
  </si>
  <si>
    <t>Residuos agricolas</t>
  </si>
  <si>
    <t>Esgoto</t>
  </si>
  <si>
    <t>Coque de carvao mineral</t>
  </si>
  <si>
    <t>Carvao metalurgico</t>
  </si>
  <si>
    <t>Unidade</t>
  </si>
  <si>
    <t>BRL2020/tep</t>
  </si>
  <si>
    <t>Gas cidade</t>
  </si>
  <si>
    <t>US$/ktep</t>
  </si>
  <si>
    <t>BRL2020/ktep</t>
  </si>
  <si>
    <t>Média do setor de transporte</t>
  </si>
  <si>
    <t>Tabela 7.9 – Preços Correntes de Fontes de Energia - BEN 2025 - página 143</t>
  </si>
  <si>
    <t>Média do setor energético</t>
  </si>
  <si>
    <t>Valor do coque de petróleo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</si>
</sst>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9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</cellStyleXfs>
  <cellXfs count="9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2" borderId="0" xfId="0" applyFill="1"/>
    <xf numFmtId="164" fontId="0" fillId="2" borderId="0" xfId="1" applyNumberFormat="1" applyFont="1" applyFill="1"/>
    <xf numFmtId="164" fontId="0" fillId="3" borderId="0" xfId="1" applyNumberFormat="1" applyFont="1" applyFill="1"/>
    <xf numFmtId="0" fontId="3" fillId="0" borderId="0" xfId="3" applyFont="1"/>
    <xf numFmtId="164" fontId="5" fillId="4" borderId="1" xfId="1" applyNumberFormat="1" applyFont="1" applyFill="1" applyBorder="1" applyAlignment="1">
      <alignment vertical="center"/>
    </xf>
    <xf numFmtId="164" fontId="0" fillId="0" borderId="0" xfId="1" applyNumberFormat="1" applyFont="1" applyAlignment="1">
      <alignment vertical="top"/>
    </xf>
  </cellXfs>
  <cellStyles count="4">
    <cellStyle name="Normal" xfId="0" builtinId="0"/>
    <cellStyle name="Normal 2" xfId="2" xr:uid="{948A5031-D56D-4A71-B2E7-EF6169F107D6}"/>
    <cellStyle name="Normal 3" xfId="3" xr:uid="{55CD177A-ED05-4153-9E7E-3158D50F3852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>
      <selection activeCell="F8" sqref="F8"/>
    </sheetView>
  </sheetViews>
  <sheetFormatPr defaultRowHeight="14.4" x14ac:dyDescent="0.3"/>
  <cols>
    <col min="1" max="1" width="28" customWidth="1"/>
    <col min="2" max="2" width="12.6640625" customWidth="1"/>
    <col min="3" max="3" width="19.6640625" customWidth="1"/>
    <col min="4" max="4" width="12.6640625" bestFit="1" customWidth="1"/>
    <col min="5" max="5" width="12.6640625" customWidth="1"/>
    <col min="6" max="6" width="10.33203125" bestFit="1" customWidth="1"/>
    <col min="14" max="14" width="11.44140625" bestFit="1" customWidth="1"/>
    <col min="15" max="15" width="10.109375" bestFit="1" customWidth="1"/>
    <col min="19" max="19" width="21.6640625" customWidth="1"/>
    <col min="20" max="20" width="13.33203125" bestFit="1" customWidth="1"/>
  </cols>
  <sheetData>
    <row r="1" spans="1:20" x14ac:dyDescent="0.3">
      <c r="A1" s="3" t="s">
        <v>0</v>
      </c>
      <c r="B1" s="3" t="s">
        <v>33</v>
      </c>
      <c r="C1" s="3" t="s">
        <v>36</v>
      </c>
      <c r="D1" s="3" t="s">
        <v>32</v>
      </c>
      <c r="E1" s="3" t="s">
        <v>1</v>
      </c>
      <c r="F1" t="s">
        <v>2</v>
      </c>
    </row>
    <row r="2" spans="1:20" x14ac:dyDescent="0.3">
      <c r="A2" s="3" t="s">
        <v>3</v>
      </c>
      <c r="B2" s="5">
        <f>C2/1000</f>
        <v>6136.2845564838717</v>
      </c>
      <c r="C2" s="5">
        <v>6136284.5564838713</v>
      </c>
      <c r="D2" s="4" t="s">
        <v>35</v>
      </c>
      <c r="E2" s="4">
        <f>B2/5.16*1000</f>
        <v>1189202.4334271068</v>
      </c>
      <c r="F2" s="6" t="s">
        <v>37</v>
      </c>
      <c r="G2" s="2"/>
      <c r="T2" s="1"/>
    </row>
    <row r="3" spans="1:20" x14ac:dyDescent="0.3">
      <c r="A3" s="3" t="s">
        <v>4</v>
      </c>
      <c r="B3" s="5">
        <f t="shared" ref="B3:B31" si="0">C3/1000</f>
        <v>6136.2845564838717</v>
      </c>
      <c r="C3" s="5">
        <v>6136284.5564838713</v>
      </c>
      <c r="D3" s="4" t="s">
        <v>35</v>
      </c>
      <c r="E3" s="4">
        <f t="shared" ref="E3:E31" si="1">B3/5.16*1000</f>
        <v>1189202.4334271068</v>
      </c>
      <c r="F3" s="6" t="s">
        <v>37</v>
      </c>
      <c r="T3" s="1"/>
    </row>
    <row r="4" spans="1:20" x14ac:dyDescent="0.3">
      <c r="A4" s="3" t="s">
        <v>5</v>
      </c>
      <c r="B4" s="5">
        <f t="shared" si="0"/>
        <v>6811.2758576129036</v>
      </c>
      <c r="C4" s="5">
        <v>6811275.8576129032</v>
      </c>
      <c r="D4" s="4" t="s">
        <v>35</v>
      </c>
      <c r="E4" s="4">
        <f t="shared" si="1"/>
        <v>1320014.7010877719</v>
      </c>
      <c r="F4" t="s">
        <v>37</v>
      </c>
      <c r="T4" s="1"/>
    </row>
    <row r="5" spans="1:20" x14ac:dyDescent="0.3">
      <c r="A5" s="3" t="s">
        <v>6</v>
      </c>
      <c r="B5" s="5">
        <f t="shared" si="0"/>
        <v>2430.064603838709</v>
      </c>
      <c r="C5" s="5">
        <v>2430064.6038387092</v>
      </c>
      <c r="D5" s="4" t="s">
        <v>35</v>
      </c>
      <c r="E5" s="4">
        <f t="shared" si="1"/>
        <v>470942.75268192036</v>
      </c>
      <c r="F5" s="6" t="s">
        <v>37</v>
      </c>
      <c r="T5" s="1"/>
    </row>
    <row r="6" spans="1:20" x14ac:dyDescent="0.3">
      <c r="A6" s="3" t="s">
        <v>7</v>
      </c>
      <c r="B6" s="5">
        <f t="shared" si="0"/>
        <v>6817.6936074838713</v>
      </c>
      <c r="C6" s="5">
        <v>6817693.6074838713</v>
      </c>
      <c r="D6" s="4" t="s">
        <v>35</v>
      </c>
      <c r="E6" s="4">
        <f t="shared" si="1"/>
        <v>1321258.4510627657</v>
      </c>
      <c r="F6" s="6" t="s">
        <v>37</v>
      </c>
      <c r="T6" s="1"/>
    </row>
    <row r="7" spans="1:20" ht="15" thickBot="1" x14ac:dyDescent="0.35">
      <c r="A7" s="3" t="s">
        <v>8</v>
      </c>
      <c r="B7" s="5">
        <f t="shared" si="0"/>
        <v>5581.8018563225796</v>
      </c>
      <c r="C7" s="5">
        <v>5581801.85632258</v>
      </c>
      <c r="D7" s="4" t="s">
        <v>35</v>
      </c>
      <c r="E7" s="4">
        <f t="shared" si="1"/>
        <v>1081744.5457989494</v>
      </c>
      <c r="F7" s="6" t="s">
        <v>38</v>
      </c>
      <c r="T7" s="1"/>
    </row>
    <row r="8" spans="1:20" x14ac:dyDescent="0.3">
      <c r="A8" s="3" t="s">
        <v>9</v>
      </c>
      <c r="B8" s="5">
        <f t="shared" si="0"/>
        <v>7399</v>
      </c>
      <c r="C8" s="5">
        <v>7399000</v>
      </c>
      <c r="D8" s="4" t="s">
        <v>35</v>
      </c>
      <c r="E8" s="4">
        <f t="shared" si="1"/>
        <v>1433914.7286821706</v>
      </c>
      <c r="F8" s="6" t="s">
        <v>39</v>
      </c>
      <c r="N8" s="7">
        <v>9822000</v>
      </c>
      <c r="O8" s="7">
        <v>234594</v>
      </c>
      <c r="T8" s="1"/>
    </row>
    <row r="9" spans="1:20" x14ac:dyDescent="0.3">
      <c r="A9" s="3" t="s">
        <v>10</v>
      </c>
      <c r="B9" s="5">
        <f t="shared" si="0"/>
        <v>4647.5845810632718</v>
      </c>
      <c r="C9" s="5">
        <v>4647584.5810632715</v>
      </c>
      <c r="D9" s="4" t="s">
        <v>35</v>
      </c>
      <c r="E9" s="4">
        <f t="shared" si="1"/>
        <v>900694.68625257211</v>
      </c>
      <c r="F9" s="6" t="s">
        <v>39</v>
      </c>
      <c r="O9">
        <f>N8/O8</f>
        <v>41.86807846747999</v>
      </c>
      <c r="T9" s="1"/>
    </row>
    <row r="10" spans="1:20" x14ac:dyDescent="0.3">
      <c r="A10" s="3" t="s">
        <v>11</v>
      </c>
      <c r="B10" s="5">
        <f t="shared" si="0"/>
        <v>746.37293349217146</v>
      </c>
      <c r="C10" s="5">
        <v>746372.93349217146</v>
      </c>
      <c r="D10" s="4" t="s">
        <v>35</v>
      </c>
      <c r="E10" s="4">
        <f t="shared" si="1"/>
        <v>144645.91734344407</v>
      </c>
      <c r="F10" s="6" t="s">
        <v>39</v>
      </c>
      <c r="T10" s="1"/>
    </row>
    <row r="11" spans="1:20" x14ac:dyDescent="0.3">
      <c r="A11" s="3" t="s">
        <v>12</v>
      </c>
      <c r="B11" s="5">
        <f t="shared" si="0"/>
        <v>10895.272222039028</v>
      </c>
      <c r="C11" s="5">
        <v>10895272.222039027</v>
      </c>
      <c r="D11" s="4" t="s">
        <v>35</v>
      </c>
      <c r="E11" s="4">
        <f t="shared" si="1"/>
        <v>2111486.8647362455</v>
      </c>
      <c r="F11" s="6" t="s">
        <v>39</v>
      </c>
      <c r="T11" s="1"/>
    </row>
    <row r="12" spans="1:20" x14ac:dyDescent="0.3">
      <c r="A12" s="3" t="s">
        <v>13</v>
      </c>
      <c r="B12" s="5">
        <f t="shared" si="0"/>
        <v>4095.0194609794394</v>
      </c>
      <c r="C12" s="5">
        <v>4095019.4609794393</v>
      </c>
      <c r="D12" s="4" t="s">
        <v>35</v>
      </c>
      <c r="E12" s="4">
        <f t="shared" si="1"/>
        <v>793608.42267043388</v>
      </c>
      <c r="F12" t="s">
        <v>38</v>
      </c>
      <c r="T12" s="1"/>
    </row>
    <row r="13" spans="1:20" x14ac:dyDescent="0.3">
      <c r="A13" s="3" t="s">
        <v>14</v>
      </c>
      <c r="B13" s="5">
        <f t="shared" si="0"/>
        <v>1480</v>
      </c>
      <c r="C13" s="5">
        <v>1480000</v>
      </c>
      <c r="D13" s="4" t="s">
        <v>35</v>
      </c>
      <c r="E13" s="4">
        <f t="shared" si="1"/>
        <v>286821.70542635658</v>
      </c>
      <c r="F13" t="s">
        <v>38</v>
      </c>
      <c r="T13" s="1"/>
    </row>
    <row r="14" spans="1:20" x14ac:dyDescent="0.3">
      <c r="A14" s="3" t="s">
        <v>15</v>
      </c>
      <c r="B14" s="5">
        <f t="shared" si="0"/>
        <v>777</v>
      </c>
      <c r="C14" s="5">
        <v>777000</v>
      </c>
      <c r="D14" s="4" t="s">
        <v>35</v>
      </c>
      <c r="E14" s="4">
        <f t="shared" si="1"/>
        <v>150581.39534883722</v>
      </c>
      <c r="F14" t="s">
        <v>39</v>
      </c>
      <c r="T14" s="1"/>
    </row>
    <row r="15" spans="1:20" x14ac:dyDescent="0.3">
      <c r="A15" s="3" t="s">
        <v>16</v>
      </c>
      <c r="B15" s="5">
        <f t="shared" si="0"/>
        <v>461.9335981263464</v>
      </c>
      <c r="C15" s="5">
        <v>461933.59812634642</v>
      </c>
      <c r="D15" s="4" t="s">
        <v>35</v>
      </c>
      <c r="E15" s="4">
        <f t="shared" si="1"/>
        <v>89522.015140764808</v>
      </c>
      <c r="F15" s="8" t="s">
        <v>40</v>
      </c>
      <c r="T15" s="1"/>
    </row>
    <row r="16" spans="1:20" x14ac:dyDescent="0.3">
      <c r="A16" s="3" t="s">
        <v>17</v>
      </c>
      <c r="B16" s="5">
        <f t="shared" si="0"/>
        <v>602.36415296987877</v>
      </c>
      <c r="C16" s="5">
        <v>602364.15296987875</v>
      </c>
      <c r="D16" s="4" t="s">
        <v>35</v>
      </c>
      <c r="E16" s="4">
        <f t="shared" si="1"/>
        <v>116737.23894765093</v>
      </c>
      <c r="F16" t="s">
        <v>40</v>
      </c>
      <c r="T16" s="1"/>
    </row>
    <row r="17" spans="1:20" x14ac:dyDescent="0.3">
      <c r="A17" s="3" t="s">
        <v>18</v>
      </c>
      <c r="B17" s="5">
        <f t="shared" si="0"/>
        <v>602.36415296987877</v>
      </c>
      <c r="C17" s="5">
        <v>602364.15296987875</v>
      </c>
      <c r="D17" s="4" t="s">
        <v>35</v>
      </c>
      <c r="E17" s="4">
        <f t="shared" si="1"/>
        <v>116737.23894765093</v>
      </c>
      <c r="F17" t="s">
        <v>39</v>
      </c>
      <c r="T17" s="1"/>
    </row>
    <row r="18" spans="1:20" x14ac:dyDescent="0.3">
      <c r="A18" s="3" t="s">
        <v>19</v>
      </c>
      <c r="B18" s="5">
        <f t="shared" si="0"/>
        <v>347.45061376970068</v>
      </c>
      <c r="C18" s="5">
        <v>347450.61376970069</v>
      </c>
      <c r="D18" s="4" t="s">
        <v>35</v>
      </c>
      <c r="E18" s="4">
        <f t="shared" si="1"/>
        <v>67335.390265445865</v>
      </c>
      <c r="F18" t="s">
        <v>40</v>
      </c>
      <c r="T18" s="1"/>
    </row>
    <row r="19" spans="1:20" x14ac:dyDescent="0.3">
      <c r="A19" s="3" t="s">
        <v>20</v>
      </c>
      <c r="B19" s="5">
        <f t="shared" si="0"/>
        <v>602.36415296987877</v>
      </c>
      <c r="C19" s="5">
        <v>602364.15296987875</v>
      </c>
      <c r="D19" s="4" t="s">
        <v>35</v>
      </c>
      <c r="E19" s="4">
        <f t="shared" si="1"/>
        <v>116737.23894765093</v>
      </c>
      <c r="F19" t="s">
        <v>39</v>
      </c>
      <c r="T19" s="1"/>
    </row>
    <row r="20" spans="1:20" x14ac:dyDescent="0.3">
      <c r="A20" s="3" t="s">
        <v>30</v>
      </c>
      <c r="B20" s="5">
        <f t="shared" si="0"/>
        <v>1852.5210449806314</v>
      </c>
      <c r="C20" s="5">
        <v>1852521.0449806314</v>
      </c>
      <c r="D20" s="4" t="s">
        <v>35</v>
      </c>
      <c r="E20" s="4">
        <f t="shared" si="1"/>
        <v>359015.70639159519</v>
      </c>
      <c r="F20" t="s">
        <v>39</v>
      </c>
      <c r="T20" s="1"/>
    </row>
    <row r="21" spans="1:20" x14ac:dyDescent="0.3">
      <c r="A21" s="3" t="s">
        <v>21</v>
      </c>
      <c r="B21" s="5">
        <f t="shared" si="0"/>
        <v>602.36415296987877</v>
      </c>
      <c r="C21" s="5">
        <v>602364.15296987875</v>
      </c>
      <c r="D21" s="4" t="s">
        <v>35</v>
      </c>
      <c r="E21" s="4">
        <f t="shared" si="1"/>
        <v>116737.23894765093</v>
      </c>
      <c r="F21" t="s">
        <v>39</v>
      </c>
      <c r="T21" s="1"/>
    </row>
    <row r="22" spans="1:20" x14ac:dyDescent="0.3">
      <c r="A22" s="3" t="s">
        <v>22</v>
      </c>
      <c r="B22" s="5">
        <f t="shared" si="0"/>
        <v>543.40617319431851</v>
      </c>
      <c r="C22" s="5">
        <v>543406.17319431854</v>
      </c>
      <c r="D22" s="4" t="s">
        <v>35</v>
      </c>
      <c r="E22" s="4">
        <f t="shared" si="1"/>
        <v>105311.27387486793</v>
      </c>
      <c r="F22" t="s">
        <v>39</v>
      </c>
      <c r="T22" s="1"/>
    </row>
    <row r="23" spans="1:20" x14ac:dyDescent="0.3">
      <c r="A23" s="3" t="s">
        <v>23</v>
      </c>
      <c r="B23" s="5">
        <f t="shared" si="0"/>
        <v>746.37293349217146</v>
      </c>
      <c r="C23" s="5">
        <v>746372.93349217146</v>
      </c>
      <c r="D23" s="4" t="s">
        <v>35</v>
      </c>
      <c r="E23" s="4">
        <f t="shared" si="1"/>
        <v>144645.91734344407</v>
      </c>
      <c r="F23" t="s">
        <v>39</v>
      </c>
      <c r="T23" s="1"/>
    </row>
    <row r="24" spans="1:20" x14ac:dyDescent="0.3">
      <c r="A24" s="3" t="s">
        <v>31</v>
      </c>
      <c r="B24" s="5">
        <f t="shared" si="0"/>
        <v>1646.6853733161167</v>
      </c>
      <c r="C24" s="5">
        <v>1646685.3733161166</v>
      </c>
      <c r="D24" s="4" t="s">
        <v>35</v>
      </c>
      <c r="E24" s="4">
        <f t="shared" si="1"/>
        <v>319125.07234808465</v>
      </c>
      <c r="F24" t="s">
        <v>40</v>
      </c>
      <c r="T24" s="1"/>
    </row>
    <row r="25" spans="1:20" x14ac:dyDescent="0.3">
      <c r="A25" s="3" t="s">
        <v>24</v>
      </c>
      <c r="B25" s="5">
        <f t="shared" si="0"/>
        <v>602.36415296987877</v>
      </c>
      <c r="C25" s="5">
        <v>602364.15296987875</v>
      </c>
      <c r="D25" s="4" t="s">
        <v>35</v>
      </c>
      <c r="E25" s="4">
        <f t="shared" si="1"/>
        <v>116737.23894765093</v>
      </c>
      <c r="F25" t="s">
        <v>40</v>
      </c>
      <c r="T25" s="1"/>
    </row>
    <row r="26" spans="1:20" x14ac:dyDescent="0.3">
      <c r="A26" s="3" t="s">
        <v>25</v>
      </c>
      <c r="B26" s="5">
        <f t="shared" si="0"/>
        <v>602.36415296987877</v>
      </c>
      <c r="C26" s="5">
        <v>602364.15296987875</v>
      </c>
      <c r="D26" s="4" t="s">
        <v>35</v>
      </c>
      <c r="E26" s="4">
        <f t="shared" si="1"/>
        <v>116737.23894765093</v>
      </c>
      <c r="F26" t="s">
        <v>40</v>
      </c>
      <c r="T26" s="1"/>
    </row>
    <row r="27" spans="1:20" x14ac:dyDescent="0.3">
      <c r="A27" s="3" t="s">
        <v>26</v>
      </c>
      <c r="B27" s="5">
        <f t="shared" si="0"/>
        <v>602.36415296987877</v>
      </c>
      <c r="C27" s="5">
        <v>602364.15296987875</v>
      </c>
      <c r="D27" s="4" t="s">
        <v>35</v>
      </c>
      <c r="E27" s="4">
        <f t="shared" si="1"/>
        <v>116737.23894765093</v>
      </c>
      <c r="F27" t="s">
        <v>40</v>
      </c>
      <c r="T27" s="1"/>
    </row>
    <row r="28" spans="1:20" x14ac:dyDescent="0.3">
      <c r="A28" s="3" t="s">
        <v>27</v>
      </c>
      <c r="B28" s="5">
        <f t="shared" si="0"/>
        <v>602.36415296987877</v>
      </c>
      <c r="C28" s="5">
        <v>602364.15296987875</v>
      </c>
      <c r="D28" s="4" t="s">
        <v>35</v>
      </c>
      <c r="E28" s="4">
        <f t="shared" si="1"/>
        <v>116737.23894765093</v>
      </c>
      <c r="F28" t="s">
        <v>40</v>
      </c>
      <c r="T28" s="1"/>
    </row>
    <row r="29" spans="1:20" x14ac:dyDescent="0.3">
      <c r="A29" s="3" t="s">
        <v>28</v>
      </c>
      <c r="B29" s="5">
        <f t="shared" si="0"/>
        <v>602.36415296987877</v>
      </c>
      <c r="C29" s="5">
        <v>602364.15296987875</v>
      </c>
      <c r="D29" s="4" t="s">
        <v>35</v>
      </c>
      <c r="E29" s="4">
        <f t="shared" si="1"/>
        <v>116737.23894765093</v>
      </c>
      <c r="F29" t="s">
        <v>40</v>
      </c>
      <c r="T29" s="1"/>
    </row>
    <row r="30" spans="1:20" x14ac:dyDescent="0.3">
      <c r="A30" s="3" t="s">
        <v>29</v>
      </c>
      <c r="B30" s="5">
        <f t="shared" si="0"/>
        <v>602.36415296987877</v>
      </c>
      <c r="C30" s="5">
        <v>602364.15296987875</v>
      </c>
      <c r="D30" s="4" t="s">
        <v>35</v>
      </c>
      <c r="E30" s="4">
        <f t="shared" si="1"/>
        <v>116737.23894765093</v>
      </c>
      <c r="F30" t="s">
        <v>40</v>
      </c>
      <c r="T30" s="1"/>
    </row>
    <row r="31" spans="1:20" x14ac:dyDescent="0.3">
      <c r="A31" s="3" t="s">
        <v>34</v>
      </c>
      <c r="B31" s="5">
        <f t="shared" si="0"/>
        <v>602.36415296987877</v>
      </c>
      <c r="C31" s="5">
        <v>602364.15296987875</v>
      </c>
      <c r="D31" s="4" t="s">
        <v>35</v>
      </c>
      <c r="E31" s="4">
        <f t="shared" si="1"/>
        <v>116737.23894765093</v>
      </c>
      <c r="F31" t="s">
        <v>40</v>
      </c>
      <c r="T3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 Hebeda</dc:creator>
  <cp:lastModifiedBy>Bruna Guimaraes</cp:lastModifiedBy>
  <dcterms:created xsi:type="dcterms:W3CDTF">2015-06-05T18:17:20Z</dcterms:created>
  <dcterms:modified xsi:type="dcterms:W3CDTF">2026-01-05T19:55:30Z</dcterms:modified>
</cp:coreProperties>
</file>