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d127730922d462/DOUTORADO/0.TESE/modelagem/modelo_bru/"/>
    </mc:Choice>
  </mc:AlternateContent>
  <xr:revisionPtr revIDLastSave="3" documentId="13_ncr:1_{B62E733F-E2E4-4012-8470-C1B541D273FD}" xr6:coauthVersionLast="47" xr6:coauthVersionMax="47" xr10:uidLastSave="{E53B9FBC-2CC4-46E1-A186-98229D427486}"/>
  <bookViews>
    <workbookView xWindow="-108" yWindow="-108" windowWidth="23256" windowHeight="12456" xr2:uid="{1683CF16-D6CE-428F-8B93-DD97FDAC2386}"/>
  </bookViews>
  <sheets>
    <sheet name="Planilha1" sheetId="1" r:id="rId1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1" l="1"/>
</calcChain>
</file>

<file path=xl/sharedStrings.xml><?xml version="1.0" encoding="utf-8"?>
<sst xmlns="http://schemas.openxmlformats.org/spreadsheetml/2006/main" count="58" uniqueCount="36">
  <si>
    <t>Coordinates</t>
  </si>
  <si>
    <t>Lat</t>
  </si>
  <si>
    <t>Lon</t>
  </si>
  <si>
    <t>SBR00001</t>
  </si>
  <si>
    <t>-20.543507, -43.752950</t>
  </si>
  <si>
    <t>SBR00002</t>
  </si>
  <si>
    <t>-20.253447, -40.242298</t>
  </si>
  <si>
    <t>SBR00003</t>
  </si>
  <si>
    <t>-19.832129, -43.130164</t>
  </si>
  <si>
    <t>SBR00004</t>
  </si>
  <si>
    <t>-22.493597, -44.512628</t>
  </si>
  <si>
    <t>SBR00005</t>
  </si>
  <si>
    <t>-23.863092, -46.376294</t>
  </si>
  <si>
    <t>SBR00006</t>
  </si>
  <si>
    <t>-22.912549, -43.741614</t>
  </si>
  <si>
    <t>SBR00007</t>
  </si>
  <si>
    <t>-22.512631, -44.112870</t>
  </si>
  <si>
    <t>SBR00008</t>
  </si>
  <si>
    <t>-3.585917, -38.858932</t>
  </si>
  <si>
    <t>SBR00009</t>
  </si>
  <si>
    <t>-22.698154, -47.657146</t>
  </si>
  <si>
    <t>SBR00010</t>
  </si>
  <si>
    <t>-22.902420, -43.749319</t>
  </si>
  <si>
    <t>SBR00011</t>
  </si>
  <si>
    <t>-19.491277, -42.544253</t>
  </si>
  <si>
    <t>SBR00012</t>
  </si>
  <si>
    <t>-20.582683, -43.971555</t>
  </si>
  <si>
    <t>SBR00013</t>
  </si>
  <si>
    <t>-21.626963, -43.462361</t>
  </si>
  <si>
    <t>ARCH-Brazil-EAF-1</t>
  </si>
  <si>
    <t>Capacity</t>
  </si>
  <si>
    <t>Retrofitdate</t>
  </si>
  <si>
    <t>Route</t>
  </si>
  <si>
    <t>Plantname</t>
  </si>
  <si>
    <t>R1</t>
  </si>
  <si>
    <t>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</si>
</sst>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1" applyNumberFormat="1" applyFont="1" applyAlignment="1">
      <alignment horizontal="center"/>
    </xf>
    <xf numFmtId="1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E9D97-E7E6-401A-8B63-E7AB508DAAF6}">
  <dimension ref="A1:G20"/>
  <sheetViews>
    <sheetView tabSelected="1" workbookViewId="0">
      <selection activeCell="G21" sqref="G21"/>
    </sheetView>
  </sheetViews>
  <sheetFormatPr defaultRowHeight="14.4" x14ac:dyDescent="0.3"/>
  <cols>
    <col min="1" max="1" width="16.44140625" bestFit="1" customWidth="1"/>
    <col min="2" max="2" width="20.5546875" bestFit="1" customWidth="1"/>
    <col min="3" max="4" width="10.77734375" bestFit="1" customWidth="1"/>
    <col min="5" max="5" width="18.88671875" customWidth="1"/>
    <col min="6" max="6" width="19" customWidth="1"/>
    <col min="7" max="7" width="10.88671875" bestFit="1" customWidth="1"/>
  </cols>
  <sheetData>
    <row r="1" spans="1:7" x14ac:dyDescent="0.3">
      <c r="A1" s="1" t="s">
        <v>33</v>
      </c>
      <c r="B1" s="1" t="s">
        <v>0</v>
      </c>
      <c r="C1" s="1" t="s">
        <v>1</v>
      </c>
      <c r="D1" s="1" t="s">
        <v>2</v>
      </c>
      <c r="E1" s="1" t="s">
        <v>32</v>
      </c>
      <c r="F1" s="1" t="s">
        <v>31</v>
      </c>
      <c r="G1" s="1" t="s">
        <v>30</v>
      </c>
    </row>
    <row r="2" spans="1:7" x14ac:dyDescent="0.3">
      <c r="A2" s="1" t="s">
        <v>3</v>
      </c>
      <c r="B2" s="1" t="s">
        <v>4</v>
      </c>
      <c r="C2" s="2">
        <v>-20543507</v>
      </c>
      <c r="D2" s="2">
        <v>-43752950</v>
      </c>
      <c r="E2" s="1" t="s">
        <v>34</v>
      </c>
      <c r="F2" s="4">
        <v>2036</v>
      </c>
      <c r="G2" s="3">
        <v>7600</v>
      </c>
    </row>
    <row r="3" spans="1:7" x14ac:dyDescent="0.3">
      <c r="A3" s="1" t="s">
        <v>5</v>
      </c>
      <c r="B3" s="1" t="s">
        <v>6</v>
      </c>
      <c r="C3" s="2">
        <v>-20253447</v>
      </c>
      <c r="D3" s="2">
        <v>-40242298</v>
      </c>
      <c r="E3" s="1" t="s">
        <v>34</v>
      </c>
      <c r="F3" s="4">
        <v>2033</v>
      </c>
      <c r="G3" s="3">
        <v>7500</v>
      </c>
    </row>
    <row r="4" spans="1:7" x14ac:dyDescent="0.3">
      <c r="A4" s="1" t="s">
        <v>7</v>
      </c>
      <c r="B4" s="1" t="s">
        <v>8</v>
      </c>
      <c r="C4" s="2">
        <v>-19832129</v>
      </c>
      <c r="D4" s="2">
        <v>-43130164</v>
      </c>
      <c r="E4" s="1" t="s">
        <v>34</v>
      </c>
      <c r="F4" s="4">
        <v>2037</v>
      </c>
      <c r="G4" s="3">
        <v>3500</v>
      </c>
    </row>
    <row r="5" spans="1:7" x14ac:dyDescent="0.3">
      <c r="A5" s="1" t="s">
        <v>9</v>
      </c>
      <c r="B5" s="1" t="s">
        <v>10</v>
      </c>
      <c r="C5" s="2">
        <v>-22493597</v>
      </c>
      <c r="D5" s="2">
        <v>-44512628</v>
      </c>
      <c r="E5" s="1" t="s">
        <v>35</v>
      </c>
      <c r="F5" s="4">
        <v>2060</v>
      </c>
      <c r="G5" s="3">
        <v>1000</v>
      </c>
    </row>
    <row r="6" spans="1:7" x14ac:dyDescent="0.3">
      <c r="A6" s="1" t="s">
        <v>11</v>
      </c>
      <c r="B6" s="1" t="s">
        <v>12</v>
      </c>
      <c r="C6" s="2">
        <v>-23863092</v>
      </c>
      <c r="D6" s="2">
        <v>-46376294</v>
      </c>
      <c r="E6" s="1" t="s">
        <v>34</v>
      </c>
      <c r="F6" s="4">
        <v>2038</v>
      </c>
      <c r="G6" s="3">
        <v>0</v>
      </c>
    </row>
    <row r="7" spans="1:7" x14ac:dyDescent="0.3">
      <c r="A7" s="1" t="s">
        <v>13</v>
      </c>
      <c r="B7" s="1" t="s">
        <v>14</v>
      </c>
      <c r="C7" s="2">
        <v>-22912549</v>
      </c>
      <c r="D7" s="2">
        <v>-43741614</v>
      </c>
      <c r="E7" s="1" t="s">
        <v>34</v>
      </c>
      <c r="F7" s="4">
        <v>2035</v>
      </c>
      <c r="G7" s="3">
        <v>5000</v>
      </c>
    </row>
    <row r="8" spans="1:7" x14ac:dyDescent="0.3">
      <c r="A8" s="1" t="s">
        <v>15</v>
      </c>
      <c r="B8" s="1" t="s">
        <v>16</v>
      </c>
      <c r="C8" s="2">
        <v>-22512631</v>
      </c>
      <c r="D8" s="2">
        <v>-44112870</v>
      </c>
      <c r="E8" s="1" t="s">
        <v>34</v>
      </c>
      <c r="F8" s="4">
        <v>2046</v>
      </c>
      <c r="G8" s="3">
        <v>4504.9771000000001</v>
      </c>
    </row>
    <row r="9" spans="1:7" x14ac:dyDescent="0.3">
      <c r="A9" s="1" t="s">
        <v>15</v>
      </c>
      <c r="B9" s="1" t="s">
        <v>16</v>
      </c>
      <c r="C9" s="2">
        <v>-22512631</v>
      </c>
      <c r="D9" s="2">
        <v>-44112870</v>
      </c>
      <c r="E9" s="1" t="s">
        <v>35</v>
      </c>
      <c r="F9" s="4">
        <v>2060</v>
      </c>
      <c r="G9" s="3">
        <v>1295.0228999999999</v>
      </c>
    </row>
    <row r="10" spans="1:7" x14ac:dyDescent="0.3">
      <c r="A10" s="1" t="s">
        <v>17</v>
      </c>
      <c r="B10" s="1" t="s">
        <v>18</v>
      </c>
      <c r="C10" s="2">
        <v>-3585917</v>
      </c>
      <c r="D10" s="2">
        <v>-38858932</v>
      </c>
      <c r="E10" s="1" t="s">
        <v>34</v>
      </c>
      <c r="F10" s="4">
        <v>2041</v>
      </c>
      <c r="G10" s="3">
        <v>3000</v>
      </c>
    </row>
    <row r="11" spans="1:7" x14ac:dyDescent="0.3">
      <c r="A11" s="1" t="s">
        <v>19</v>
      </c>
      <c r="B11" s="1" t="s">
        <v>20</v>
      </c>
      <c r="C11" s="2">
        <v>-22698154</v>
      </c>
      <c r="D11" s="2">
        <v>-47657146</v>
      </c>
      <c r="E11" s="1" t="s">
        <v>35</v>
      </c>
      <c r="F11" s="4">
        <v>2060</v>
      </c>
      <c r="G11" s="3">
        <v>1100</v>
      </c>
    </row>
    <row r="12" spans="1:7" x14ac:dyDescent="0.3">
      <c r="A12" s="1" t="s">
        <v>21</v>
      </c>
      <c r="B12" s="1" t="s">
        <v>22</v>
      </c>
      <c r="C12" s="2">
        <v>-22902420</v>
      </c>
      <c r="D12" s="2">
        <v>-43749319</v>
      </c>
      <c r="E12" s="1" t="s">
        <v>35</v>
      </c>
      <c r="F12" s="4">
        <v>2060</v>
      </c>
      <c r="G12" s="3">
        <v>1200</v>
      </c>
    </row>
    <row r="13" spans="1:7" x14ac:dyDescent="0.3">
      <c r="A13" s="1" t="s">
        <v>23</v>
      </c>
      <c r="B13" s="1" t="s">
        <v>24</v>
      </c>
      <c r="C13" s="2">
        <v>-19491277</v>
      </c>
      <c r="D13" s="2">
        <v>-42544253</v>
      </c>
      <c r="E13" s="1" t="s">
        <v>34</v>
      </c>
      <c r="F13" s="4">
        <v>2037</v>
      </c>
      <c r="G13" s="3">
        <v>3500</v>
      </c>
    </row>
    <row r="14" spans="1:7" x14ac:dyDescent="0.3">
      <c r="A14" s="1" t="s">
        <v>25</v>
      </c>
      <c r="B14" s="1" t="s">
        <v>26</v>
      </c>
      <c r="C14" s="2">
        <v>-20582683</v>
      </c>
      <c r="D14" s="2">
        <v>-43971555</v>
      </c>
      <c r="E14" s="1" t="s">
        <v>34</v>
      </c>
      <c r="F14" s="4">
        <v>2036</v>
      </c>
      <c r="G14" s="3">
        <v>776.72019999999998</v>
      </c>
    </row>
    <row r="15" spans="1:7" x14ac:dyDescent="0.3">
      <c r="A15" s="1" t="s">
        <v>25</v>
      </c>
      <c r="B15" s="1" t="s">
        <v>26</v>
      </c>
      <c r="C15" s="2">
        <v>-20582683</v>
      </c>
      <c r="D15" s="2">
        <v>-43971555</v>
      </c>
      <c r="E15" s="1" t="s">
        <v>35</v>
      </c>
      <c r="F15" s="4">
        <v>2060</v>
      </c>
      <c r="G15" s="3">
        <v>223.27979999999999</v>
      </c>
    </row>
    <row r="16" spans="1:7" x14ac:dyDescent="0.3">
      <c r="A16" s="1" t="s">
        <v>27</v>
      </c>
      <c r="B16" s="1" t="s">
        <v>28</v>
      </c>
      <c r="C16" s="2">
        <v>-21626963</v>
      </c>
      <c r="D16" s="2">
        <v>-43462361</v>
      </c>
      <c r="E16" s="1" t="s">
        <v>34</v>
      </c>
      <c r="F16" s="4">
        <v>2034</v>
      </c>
      <c r="G16" s="3">
        <v>1553.4404</v>
      </c>
    </row>
    <row r="17" spans="1:7" x14ac:dyDescent="0.3">
      <c r="A17" s="1" t="s">
        <v>27</v>
      </c>
      <c r="B17" s="1" t="s">
        <v>28</v>
      </c>
      <c r="C17" s="2">
        <v>-21626963</v>
      </c>
      <c r="D17" s="2">
        <v>-43462361</v>
      </c>
      <c r="E17" s="1" t="s">
        <v>35</v>
      </c>
      <c r="F17" s="4">
        <v>2060</v>
      </c>
      <c r="G17" s="3">
        <v>446.55959999999999</v>
      </c>
    </row>
    <row r="18" spans="1:7" x14ac:dyDescent="0.3">
      <c r="A18" s="1" t="s">
        <v>29</v>
      </c>
      <c r="B18" s="1" t="s">
        <v>4</v>
      </c>
      <c r="C18" s="2">
        <v>-20543507</v>
      </c>
      <c r="D18" s="2">
        <v>-43752950</v>
      </c>
      <c r="E18" s="1" t="s">
        <v>35</v>
      </c>
      <c r="F18" s="4">
        <v>2060</v>
      </c>
      <c r="G18" s="3">
        <v>1037.3134</v>
      </c>
    </row>
    <row r="20" spans="1:7" x14ac:dyDescent="0.3">
      <c r="G20" s="5">
        <f>SUM(G2:G18)</f>
        <v>43237.313399999999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Bruna Guimaraes</dc:creator>
  <cp:lastModifiedBy>Bruna Guimaraes</cp:lastModifiedBy>
  <dcterms:created xsi:type="dcterms:W3CDTF">2025-05-21T14:44:21Z</dcterms:created>
  <dcterms:modified xsi:type="dcterms:W3CDTF">2026-01-09T22:17:26Z</dcterms:modified>
</cp:coreProperties>
</file>